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HRA_product\Y8960_Cartridge\fpga\Y8960_Cartridge_TangPrimer25K\src\timer\doc\"/>
    </mc:Choice>
  </mc:AlternateContent>
  <xr:revisionPtr revIDLastSave="0" documentId="13_ncr:1_{4E1BA8D7-7649-4C15-9BC4-4B5790900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6" i="1"/>
  <c r="D7" i="1"/>
  <c r="D8" i="1"/>
  <c r="D9" i="1"/>
  <c r="D10" i="1"/>
  <c r="D11" i="1"/>
  <c r="D12" i="1"/>
  <c r="D13" i="1"/>
  <c r="D6" i="1"/>
  <c r="C2" i="1"/>
</calcChain>
</file>

<file path=xl/sharedStrings.xml><?xml version="1.0" encoding="utf-8"?>
<sst xmlns="http://schemas.openxmlformats.org/spreadsheetml/2006/main" count="6" uniqueCount="6">
  <si>
    <t>MHz</t>
    <phoneticPr fontId="1"/>
  </si>
  <si>
    <t>Base Clock</t>
    <phoneticPr fontId="1"/>
  </si>
  <si>
    <t>Reso</t>
    <phoneticPr fontId="1"/>
  </si>
  <si>
    <t>Unit Time(usec)</t>
    <phoneticPr fontId="1"/>
  </si>
  <si>
    <t>Count</t>
    <phoneticPr fontId="1"/>
  </si>
  <si>
    <t>Count Time (usec)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</si>
</sst>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D6" sqref="D6"/>
    </sheetView>
  </sheetViews>
  <sheetFormatPr defaultRowHeight="18.75"/>
  <cols>
    <col min="2" max="2" width="11.125" bestFit="1" customWidth="1"/>
    <col min="4" max="4" width="18.5" customWidth="1"/>
    <col min="5" max="5" width="19.125" customWidth="1"/>
  </cols>
  <sheetData>
    <row r="2" spans="2:5" ht="19.5" thickBot="1">
      <c r="B2" t="s">
        <v>1</v>
      </c>
      <c r="C2">
        <f>21.47727*4</f>
        <v>85.909080000000003</v>
      </c>
      <c r="D2" t="s">
        <v>0</v>
      </c>
    </row>
    <row r="3" spans="2:5" ht="19.5" thickBot="1">
      <c r="B3" t="s">
        <v>4</v>
      </c>
      <c r="C3" s="1">
        <v>5</v>
      </c>
    </row>
    <row r="5" spans="2:5">
      <c r="C5" t="s">
        <v>2</v>
      </c>
      <c r="D5" t="s">
        <v>3</v>
      </c>
      <c r="E5" t="s">
        <v>5</v>
      </c>
    </row>
    <row r="6" spans="2:5">
      <c r="C6">
        <v>0</v>
      </c>
      <c r="D6">
        <f>POWER(2, $C6*2+10)*1000000/($C$2*1000000)</f>
        <v>11.919578233173956</v>
      </c>
      <c r="E6">
        <f>($C$3+1)*D6</f>
        <v>71.517469399043733</v>
      </c>
    </row>
    <row r="7" spans="2:5">
      <c r="C7">
        <v>1</v>
      </c>
      <c r="D7">
        <f t="shared" ref="D7:D13" si="0">POWER(2, $C7*2+10)*1000000/($C$2*1000000)</f>
        <v>47.678312932695825</v>
      </c>
      <c r="E7">
        <f t="shared" ref="E7:E13" si="1">($C$3+1)*D7</f>
        <v>286.06987759617493</v>
      </c>
    </row>
    <row r="8" spans="2:5">
      <c r="C8">
        <v>2</v>
      </c>
      <c r="D8">
        <f t="shared" si="0"/>
        <v>190.7132517307833</v>
      </c>
      <c r="E8">
        <f t="shared" si="1"/>
        <v>1144.2795103846997</v>
      </c>
    </row>
    <row r="9" spans="2:5">
      <c r="C9">
        <v>3</v>
      </c>
      <c r="D9">
        <f t="shared" si="0"/>
        <v>762.85300692313319</v>
      </c>
      <c r="E9">
        <f t="shared" si="1"/>
        <v>4577.1180415387989</v>
      </c>
    </row>
    <row r="10" spans="2:5">
      <c r="C10">
        <v>4</v>
      </c>
      <c r="D10">
        <f t="shared" si="0"/>
        <v>3051.4120276925328</v>
      </c>
      <c r="E10">
        <f t="shared" si="1"/>
        <v>18308.472166155196</v>
      </c>
    </row>
    <row r="11" spans="2:5">
      <c r="C11">
        <v>5</v>
      </c>
      <c r="D11">
        <f t="shared" si="0"/>
        <v>12205.648110770131</v>
      </c>
      <c r="E11">
        <f t="shared" si="1"/>
        <v>73233.888664620783</v>
      </c>
    </row>
    <row r="12" spans="2:5">
      <c r="C12">
        <v>6</v>
      </c>
      <c r="D12">
        <f t="shared" si="0"/>
        <v>48822.592443080524</v>
      </c>
      <c r="E12">
        <f t="shared" si="1"/>
        <v>292935.55465848313</v>
      </c>
    </row>
    <row r="13" spans="2:5">
      <c r="C13">
        <v>7</v>
      </c>
      <c r="D13">
        <f t="shared" si="0"/>
        <v>195290.3697723221</v>
      </c>
      <c r="E13">
        <f t="shared" si="1"/>
        <v>1171742.2186339325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2015-06-05T18:19:34Z</dcterms:created>
  <dcterms:modified xsi:type="dcterms:W3CDTF">2026-01-17T09:23:02Z</dcterms:modified>
</cp:coreProperties>
</file>